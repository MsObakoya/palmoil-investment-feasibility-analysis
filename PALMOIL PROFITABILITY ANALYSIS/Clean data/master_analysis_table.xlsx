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_Data" sheetId="1" r:id="rId4"/>
    <sheet state="visible" name="Profitability_Calculations" sheetId="2" r:id="rId5"/>
    <sheet state="visible" name="Scenario_Analysis" sheetId="3" r:id="rId6"/>
  </sheets>
  <definedNames/>
  <calcPr/>
  <extLst>
    <ext uri="GoogleSheetsCustomDataVersion2">
      <go:sheetsCustomData xmlns:go="http://customooxmlschemas.google.com/" r:id="rId7" roundtripDataChecksum="/KLdyGxdiqw3GSX9rpDfgmL3XQ8phoOa8Rssi+/xXDE="/>
    </ext>
  </extLst>
</workbook>
</file>

<file path=xl/sharedStrings.xml><?xml version="1.0" encoding="utf-8"?>
<sst xmlns="http://schemas.openxmlformats.org/spreadsheetml/2006/main" count="64" uniqueCount="43">
  <si>
    <t>State</t>
  </si>
  <si>
    <t>Production_Share_%</t>
  </si>
  <si>
    <t>Yield_FFB_tonnes_ha</t>
  </si>
  <si>
    <t>Rainfall_mm</t>
  </si>
  <si>
    <t>Land_Cost_ha_Naira</t>
  </si>
  <si>
    <t>Data_Quality</t>
  </si>
  <si>
    <t>Yield_Source</t>
  </si>
  <si>
    <t>Notes</t>
  </si>
  <si>
    <t>Edo</t>
  </si>
  <si>
    <t>High</t>
  </si>
  <si>
    <t>Okomu Data</t>
  </si>
  <si>
    <t>Real company data</t>
  </si>
  <si>
    <t>Cross_River</t>
  </si>
  <si>
    <t xml:space="preserve">Medium </t>
  </si>
  <si>
    <t>Proxy: Edo * 0.875</t>
  </si>
  <si>
    <t>Higher rain, worse infrastructure</t>
  </si>
  <si>
    <t>Ondo</t>
  </si>
  <si>
    <t>Proxy: Edo * 0.9375</t>
  </si>
  <si>
    <t>Similar to Edo</t>
  </si>
  <si>
    <t>Link to Okomu Dataset</t>
  </si>
  <si>
    <t>THE OKOMU OIL PALM COMPANY PLC ANNUAL REPORT AND FINANCIAL STATEMENTS FOR THE YEAR ENDED 31 DECEMBER 2024</t>
  </si>
  <si>
    <t>Yield_FFB</t>
  </si>
  <si>
    <t>CPO_Yield</t>
  </si>
  <si>
    <t>CPO_Price</t>
  </si>
  <si>
    <t>Revenue_ha</t>
  </si>
  <si>
    <t>Operating_Cost</t>
  </si>
  <si>
    <t>Land_Cost_Annual</t>
  </si>
  <si>
    <t>Total_Cost_ha</t>
  </si>
  <si>
    <t>Profit_ha</t>
  </si>
  <si>
    <t>Hectares_for_1B</t>
  </si>
  <si>
    <t>Investment_Total</t>
  </si>
  <si>
    <t>Scenario</t>
  </si>
  <si>
    <t>Yield_Multiplier</t>
  </si>
  <si>
    <t>Price_Multiplier</t>
  </si>
  <si>
    <t>Cost_Multiplier</t>
  </si>
  <si>
    <t>Yield_Adjusted</t>
  </si>
  <si>
    <t>Price_Adjusted</t>
  </si>
  <si>
    <t>Cost_Adjusted</t>
  </si>
  <si>
    <t>Profit_ha_Scenerio</t>
  </si>
  <si>
    <t>Hectares_Needed</t>
  </si>
  <si>
    <t>Conservative</t>
  </si>
  <si>
    <t>Base</t>
  </si>
  <si>
    <t>Optimistic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</si>
</sst>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sz val="11.0"/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3" numFmtId="164" xfId="0" applyFont="1" applyNumberFormat="1"/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lib.ngxgroup.com/Financial_NewsDocs/43518_OKOMU_OIL_PALM_PLC.-_QUARTER_5_-_FINANCIAL_STATEMENT_FOR_2024_FINANCIAL_STATEMENTS_MARCH_2025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7" max="7" width="17.88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 t="s">
        <v>8</v>
      </c>
      <c r="B2" s="4">
        <v>12.0</v>
      </c>
      <c r="C2" s="5">
        <v>16.0</v>
      </c>
      <c r="D2" s="4">
        <v>2200.0</v>
      </c>
      <c r="E2" s="6">
        <v>400000.0</v>
      </c>
      <c r="F2" s="4" t="s">
        <v>9</v>
      </c>
      <c r="G2" s="4" t="s">
        <v>10</v>
      </c>
      <c r="H2" s="4" t="s">
        <v>11</v>
      </c>
    </row>
    <row r="3" ht="15.75" customHeight="1">
      <c r="A3" s="4" t="s">
        <v>12</v>
      </c>
      <c r="B3" s="4">
        <v>11.0</v>
      </c>
      <c r="C3" s="5">
        <v>14.0</v>
      </c>
      <c r="D3" s="4">
        <v>2500.0</v>
      </c>
      <c r="E3" s="6">
        <v>350000.0</v>
      </c>
      <c r="F3" s="4" t="s">
        <v>13</v>
      </c>
      <c r="G3" s="4" t="s">
        <v>14</v>
      </c>
      <c r="H3" s="4" t="s">
        <v>15</v>
      </c>
    </row>
    <row r="4" ht="15.75" customHeight="1">
      <c r="A4" s="4" t="s">
        <v>16</v>
      </c>
      <c r="B4" s="4">
        <v>11.0</v>
      </c>
      <c r="C4" s="5">
        <v>15.0</v>
      </c>
      <c r="D4" s="4">
        <v>2000.0</v>
      </c>
      <c r="E4" s="6">
        <v>400000.0</v>
      </c>
      <c r="F4" s="4" t="s">
        <v>13</v>
      </c>
      <c r="G4" s="4" t="s">
        <v>17</v>
      </c>
      <c r="H4" s="4" t="s">
        <v>18</v>
      </c>
    </row>
    <row r="5" ht="15.75" customHeight="1">
      <c r="C5" s="5"/>
    </row>
    <row r="6" ht="15.75" customHeight="1">
      <c r="A6" s="7" t="s">
        <v>19</v>
      </c>
      <c r="C6" s="5"/>
    </row>
    <row r="7" ht="15.75" customHeight="1">
      <c r="A7" s="8" t="s">
        <v>20</v>
      </c>
      <c r="C7" s="5"/>
    </row>
    <row r="8" ht="15.75" customHeight="1">
      <c r="C8" s="5"/>
    </row>
    <row r="9" ht="15.75" customHeight="1">
      <c r="C9" s="5"/>
    </row>
    <row r="10" ht="15.75" customHeight="1">
      <c r="C10" s="5"/>
    </row>
    <row r="11" ht="15.75" customHeight="1">
      <c r="C11" s="5"/>
    </row>
    <row r="12" ht="15.75" customHeight="1">
      <c r="C12" s="5"/>
    </row>
    <row r="13" ht="15.75" customHeight="1">
      <c r="C13" s="5"/>
    </row>
    <row r="14" ht="15.75" customHeight="1">
      <c r="C14" s="5"/>
    </row>
    <row r="15" ht="15.75" customHeight="1">
      <c r="C15" s="5"/>
    </row>
    <row r="16" ht="15.75" customHeight="1">
      <c r="C16" s="5"/>
    </row>
    <row r="17" ht="15.75" customHeight="1">
      <c r="C17" s="5"/>
    </row>
    <row r="18" ht="15.75" customHeight="1">
      <c r="C18" s="5"/>
    </row>
    <row r="19" ht="15.75" customHeight="1">
      <c r="C19" s="5"/>
    </row>
    <row r="20" ht="15.75" customHeight="1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A27" s="6"/>
      <c r="C27" s="5"/>
    </row>
    <row r="28" ht="15.75" customHeight="1">
      <c r="A28" s="6"/>
      <c r="C28" s="5"/>
    </row>
    <row r="29" ht="15.75" customHeight="1">
      <c r="A29" s="6"/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7" max="8" width="20.5"/>
    <col customWidth="1" min="9" max="9" width="21.5"/>
  </cols>
  <sheetData>
    <row r="1" ht="15.75" customHeight="1">
      <c r="A1" s="9" t="s">
        <v>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8</v>
      </c>
      <c r="B2" s="11">
        <v>16.0</v>
      </c>
      <c r="C2" s="11">
        <f t="shared" ref="C2:C4" si="1">B2*0.2</f>
        <v>3.2</v>
      </c>
      <c r="D2" s="11">
        <v>1100000.0</v>
      </c>
      <c r="E2" s="11">
        <f t="shared" ref="E2:E4" si="2">C2*D2</f>
        <v>3520000</v>
      </c>
      <c r="F2" s="11">
        <v>660000.0</v>
      </c>
      <c r="G2" s="11">
        <f>400000/25</f>
        <v>16000</v>
      </c>
      <c r="H2" s="11">
        <f t="shared" ref="H2:H4" si="3">F2+G2</f>
        <v>676000</v>
      </c>
      <c r="I2" s="11">
        <f t="shared" ref="I2:I4" si="4">E2-H2</f>
        <v>2844000</v>
      </c>
      <c r="J2" s="11">
        <f t="shared" ref="J2:J4" si="5">1000000000/I2</f>
        <v>351.6174402</v>
      </c>
      <c r="K2" s="11">
        <f>J2*(400000+150000)+50000000+J26600003</f>
        <v>243389592.1</v>
      </c>
    </row>
    <row r="3" ht="15.75" customHeight="1">
      <c r="A3" s="11" t="s">
        <v>12</v>
      </c>
      <c r="B3" s="11">
        <v>14.0</v>
      </c>
      <c r="C3" s="11">
        <f t="shared" si="1"/>
        <v>2.8</v>
      </c>
      <c r="D3" s="11">
        <v>1100000.0</v>
      </c>
      <c r="E3" s="11">
        <f t="shared" si="2"/>
        <v>3080000</v>
      </c>
      <c r="F3" s="11">
        <v>680000.0</v>
      </c>
      <c r="G3" s="11">
        <f>350000/25</f>
        <v>14000</v>
      </c>
      <c r="H3" s="11">
        <f t="shared" si="3"/>
        <v>694000</v>
      </c>
      <c r="I3" s="11">
        <f t="shared" si="4"/>
        <v>2386000</v>
      </c>
      <c r="J3" s="11">
        <f t="shared" si="5"/>
        <v>419.1114837</v>
      </c>
      <c r="K3" s="11">
        <f>J3*(350000+150000)+50000000+J36800003</f>
        <v>259555741.8</v>
      </c>
    </row>
    <row r="4" ht="15.75" customHeight="1">
      <c r="A4" s="11" t="s">
        <v>16</v>
      </c>
      <c r="B4" s="11">
        <v>15.0</v>
      </c>
      <c r="C4" s="11">
        <f t="shared" si="1"/>
        <v>3</v>
      </c>
      <c r="D4" s="11">
        <v>1100000.0</v>
      </c>
      <c r="E4" s="11">
        <f t="shared" si="2"/>
        <v>3300000</v>
      </c>
      <c r="F4" s="11">
        <v>670000.0</v>
      </c>
      <c r="G4" s="11">
        <f>400000/25</f>
        <v>16000</v>
      </c>
      <c r="H4" s="11">
        <f t="shared" si="3"/>
        <v>686000</v>
      </c>
      <c r="I4" s="11">
        <f t="shared" si="4"/>
        <v>2614000</v>
      </c>
      <c r="J4" s="11">
        <f t="shared" si="5"/>
        <v>382.5554705</v>
      </c>
      <c r="K4" s="11">
        <f>J4*(400000+150000)+50000000+J46700003</f>
        <v>260405508.8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15.75" customHeight="1">
      <c r="A1" s="2" t="s">
        <v>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1" t="s">
        <v>8</v>
      </c>
      <c r="B2" s="11" t="s">
        <v>40</v>
      </c>
      <c r="C2" s="11">
        <v>0.8</v>
      </c>
      <c r="D2" s="11">
        <v>0.85</v>
      </c>
      <c r="E2" s="11">
        <v>1.15</v>
      </c>
      <c r="F2" s="11">
        <v>12.8</v>
      </c>
      <c r="G2" s="11">
        <v>935000.0</v>
      </c>
      <c r="H2" s="11">
        <v>775000.0</v>
      </c>
      <c r="I2" s="11">
        <f t="shared" ref="I2:I10" si="1">((F2*0.2)*G2)-H2</f>
        <v>1618600</v>
      </c>
      <c r="J2" s="11">
        <f t="shared" ref="J2:J10" si="2">1000000000/I2</f>
        <v>617.8178673</v>
      </c>
    </row>
    <row r="3" ht="15.75" customHeight="1">
      <c r="A3" s="11" t="s">
        <v>8</v>
      </c>
      <c r="B3" s="11" t="s">
        <v>41</v>
      </c>
      <c r="C3" s="11">
        <v>1.0</v>
      </c>
      <c r="D3" s="11">
        <v>1.0</v>
      </c>
      <c r="E3" s="11">
        <v>1.0</v>
      </c>
      <c r="F3" s="11">
        <v>16.0</v>
      </c>
      <c r="G3" s="11">
        <v>1100000.0</v>
      </c>
      <c r="H3" s="11">
        <v>674000.0</v>
      </c>
      <c r="I3" s="11">
        <f t="shared" si="1"/>
        <v>2846000</v>
      </c>
      <c r="J3" s="11">
        <f t="shared" si="2"/>
        <v>351.3703443</v>
      </c>
    </row>
    <row r="4" ht="15.75" customHeight="1">
      <c r="A4" s="11" t="s">
        <v>8</v>
      </c>
      <c r="B4" s="11" t="s">
        <v>42</v>
      </c>
      <c r="C4" s="11">
        <v>1.2</v>
      </c>
      <c r="D4" s="11">
        <v>1.15</v>
      </c>
      <c r="E4" s="11">
        <v>0.9</v>
      </c>
      <c r="F4" s="11">
        <v>19.2</v>
      </c>
      <c r="G4" s="11">
        <v>1265000.0</v>
      </c>
      <c r="H4" s="11">
        <v>607000.0</v>
      </c>
      <c r="I4" s="11">
        <f t="shared" si="1"/>
        <v>4250600</v>
      </c>
      <c r="J4" s="11">
        <f t="shared" si="2"/>
        <v>235.2609043</v>
      </c>
    </row>
    <row r="5" ht="15.75" customHeight="1">
      <c r="A5" s="11" t="s">
        <v>12</v>
      </c>
      <c r="B5" s="11" t="s">
        <v>40</v>
      </c>
      <c r="C5" s="11">
        <v>0.8</v>
      </c>
      <c r="D5" s="11">
        <v>0.85</v>
      </c>
      <c r="E5" s="11">
        <v>1.15</v>
      </c>
      <c r="F5" s="11">
        <v>11.2</v>
      </c>
      <c r="G5" s="11">
        <v>935000.0</v>
      </c>
      <c r="H5" s="11">
        <v>796000.0</v>
      </c>
      <c r="I5" s="11">
        <f t="shared" si="1"/>
        <v>1298400</v>
      </c>
      <c r="J5" s="11">
        <f t="shared" si="2"/>
        <v>770.1786815</v>
      </c>
    </row>
    <row r="6" ht="15.75" customHeight="1">
      <c r="A6" s="11" t="s">
        <v>12</v>
      </c>
      <c r="B6" s="11" t="s">
        <v>41</v>
      </c>
      <c r="C6" s="11">
        <v>1.0</v>
      </c>
      <c r="D6" s="11">
        <v>1.0</v>
      </c>
      <c r="E6" s="11">
        <v>1.0</v>
      </c>
      <c r="F6" s="11">
        <v>14.0</v>
      </c>
      <c r="G6" s="11">
        <v>1100000.0</v>
      </c>
      <c r="H6" s="11">
        <v>694000.0</v>
      </c>
      <c r="I6" s="11">
        <f t="shared" si="1"/>
        <v>2386000</v>
      </c>
      <c r="J6" s="11">
        <f t="shared" si="2"/>
        <v>419.1114837</v>
      </c>
    </row>
    <row r="7" ht="15.75" customHeight="1">
      <c r="A7" s="11" t="s">
        <v>12</v>
      </c>
      <c r="B7" s="11" t="s">
        <v>42</v>
      </c>
      <c r="C7" s="11">
        <v>1.2</v>
      </c>
      <c r="D7" s="11">
        <v>1.15</v>
      </c>
      <c r="E7" s="11">
        <v>0.9</v>
      </c>
      <c r="F7" s="11">
        <v>16.8</v>
      </c>
      <c r="G7" s="11">
        <v>1265000.0</v>
      </c>
      <c r="H7" s="11">
        <v>625000.0</v>
      </c>
      <c r="I7" s="11">
        <f t="shared" si="1"/>
        <v>3625400</v>
      </c>
      <c r="J7" s="11">
        <f t="shared" si="2"/>
        <v>275.8316324</v>
      </c>
    </row>
    <row r="8" ht="15.75" customHeight="1">
      <c r="A8" s="11" t="s">
        <v>16</v>
      </c>
      <c r="B8" s="11" t="s">
        <v>40</v>
      </c>
      <c r="C8" s="11">
        <v>0.8</v>
      </c>
      <c r="D8" s="11">
        <v>0.85</v>
      </c>
      <c r="E8" s="11">
        <v>1.15</v>
      </c>
      <c r="F8" s="11">
        <v>12.0</v>
      </c>
      <c r="G8" s="11">
        <v>935000.0</v>
      </c>
      <c r="H8" s="11">
        <v>786000.0</v>
      </c>
      <c r="I8" s="11">
        <f t="shared" si="1"/>
        <v>1458000</v>
      </c>
      <c r="J8" s="11">
        <f t="shared" si="2"/>
        <v>685.8710562</v>
      </c>
    </row>
    <row r="9" ht="15.75" customHeight="1">
      <c r="A9" s="11" t="s">
        <v>16</v>
      </c>
      <c r="B9" s="11" t="s">
        <v>41</v>
      </c>
      <c r="C9" s="11">
        <v>1.0</v>
      </c>
      <c r="D9" s="11">
        <v>1.0</v>
      </c>
      <c r="E9" s="11">
        <v>1.0</v>
      </c>
      <c r="F9" s="11">
        <v>15.0</v>
      </c>
      <c r="G9" s="11">
        <v>1100000.0</v>
      </c>
      <c r="H9" s="11">
        <v>686000.0</v>
      </c>
      <c r="I9" s="11">
        <f t="shared" si="1"/>
        <v>2614000</v>
      </c>
      <c r="J9" s="11">
        <f t="shared" si="2"/>
        <v>382.5554705</v>
      </c>
    </row>
    <row r="10" ht="15.75" customHeight="1">
      <c r="A10" s="11" t="s">
        <v>16</v>
      </c>
      <c r="B10" s="11" t="s">
        <v>42</v>
      </c>
      <c r="C10" s="11">
        <v>1.2</v>
      </c>
      <c r="D10" s="11">
        <v>1.15</v>
      </c>
      <c r="E10" s="11">
        <v>0.9</v>
      </c>
      <c r="F10" s="11">
        <v>18.0</v>
      </c>
      <c r="G10" s="11">
        <v>1265000.0</v>
      </c>
      <c r="H10" s="11">
        <v>617000.0</v>
      </c>
      <c r="I10" s="11">
        <f t="shared" si="1"/>
        <v>3937000</v>
      </c>
      <c r="J10" s="11">
        <f t="shared" si="2"/>
        <v>254.000508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